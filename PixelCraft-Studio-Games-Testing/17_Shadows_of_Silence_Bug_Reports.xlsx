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Bug Reports" sheetId="1" r:id="rId1"/>
    <sheet name="Summary &amp; Analytics" sheetId="2" r:id="rId2"/>
  </sheets>
  <definedNames>
    <definedName name="_xlnm._FilterDatabase" localSheetId="0" hidden="1">'Bug Reports'!$A$1:$J$18</definedName>
    <definedName name="_xlnm.Print_Titles" localSheetId="0">'Bug Reports'!$1:$1</definedName>
  </definedNames>
  <calcPr calcId="145621"/>
</workbook>
</file>

<file path=xl/calcChain.xml><?xml version="1.0" encoding="utf-8"?>
<calcChain xmlns="http://schemas.openxmlformats.org/spreadsheetml/2006/main">
  <c r="C13" i="2" l="1"/>
  <c r="D13" i="2" s="1"/>
  <c r="C12" i="2"/>
  <c r="D12" i="2" s="1"/>
  <c r="C11" i="2"/>
  <c r="C14" i="2" s="1"/>
  <c r="F6" i="2"/>
  <c r="E6" i="2"/>
  <c r="D6" i="2"/>
  <c r="C6" i="2"/>
  <c r="B6" i="2"/>
  <c r="D11" i="2" l="1"/>
  <c r="D14" i="2" s="1"/>
</calcChain>
</file>

<file path=xl/sharedStrings.xml><?xml version="1.0" encoding="utf-8"?>
<sst xmlns="http://schemas.openxmlformats.org/spreadsheetml/2006/main" count="200" uniqueCount="139">
  <si>
    <t>Bug ID</t>
  </si>
  <si>
    <t>Module / Screen</t>
  </si>
  <si>
    <t>Summary</t>
  </si>
  <si>
    <t>Severity</t>
  </si>
  <si>
    <t>Priority</t>
  </si>
  <si>
    <t>Steps to Reproduce</t>
  </si>
  <si>
    <t>Expected Result</t>
  </si>
  <si>
    <t>Actual Result</t>
  </si>
  <si>
    <t>Test Environment</t>
  </si>
  <si>
    <t>Status</t>
  </si>
  <si>
    <t>SOS-01</t>
  </si>
  <si>
    <t>Level Selection / Town Hub</t>
  </si>
  <si>
    <t>Town Navigation Failure: Buttons inside 'Town' section on Level Selection Screen do not respond to touch input</t>
  </si>
  <si>
    <t>Major</t>
  </si>
  <si>
    <t>High</t>
  </si>
  <si>
    <t>1. Open Level Selection Screen.
2. Tap 'Town' hub interactive area on the world map.
3. Tap on any interior building or sub-location button.</t>
  </si>
  <si>
    <t>Tapping a town building highlights selection and opens the corresponding town sub-menu.</t>
  </si>
  <si>
    <t>Buttons fail to register touch events; no visual feedback or navigation occurs.</t>
  </si>
  <si>
    <t>Samsung Galaxy S21 (Android 13)</t>
  </si>
  <si>
    <t>Open</t>
  </si>
  <si>
    <t>SOS-02</t>
  </si>
  <si>
    <t>Level Selection / HUD</t>
  </si>
  <si>
    <t>Shop Access Failure: 'Shop' button on Level Selection Screen is unresponsive to taps</t>
  </si>
  <si>
    <t>1. Navigate to the Level Selection Screen.
2. Locate the 'Shop' shortcut icon button on the bottom navigation bar.
3. Tap the 'Shop' button.</t>
  </si>
  <si>
    <t>In-game store overlay opens smoothly, displaying available catalog and player currency.</t>
  </si>
  <si>
    <t>'Shop' button does not respond to touch; store cannot be accessed from the world map.</t>
  </si>
  <si>
    <t>Xiaomi Redmi Note 11 (Android 12)</t>
  </si>
  <si>
    <t>SOS-03</t>
  </si>
  <si>
    <t>In-Game / Pause Menu</t>
  </si>
  <si>
    <t>Modal Window Lock: 'Item unavailable' modal window fails to close after tapping 'Instructions' in Pause Menu</t>
  </si>
  <si>
    <t>Critical</t>
  </si>
  <si>
    <t>1. Enter any active gameplay stage.
2. Tap Pause button to open the Pause Menu.
3. Tap 'Instructions' button.
4. When 'Item unavailable' dialog appears, attempt to dismiss it.</t>
  </si>
  <si>
    <t>Instructions overlay opens with a functioning close button, returning user to Pause Menu upon dismissal.</t>
  </si>
  <si>
    <t>'Item unavailable' modal freezes permanently on screen without a dismiss action, blocking gameplay.</t>
  </si>
  <si>
    <t>Google Pixel 6 (Android 14)</t>
  </si>
  <si>
    <t>SOS-04</t>
  </si>
  <si>
    <t>In-Game / Quests Panel</t>
  </si>
  <si>
    <t>Quest Panel Unresponsive: Quest entry cards ('Survivor', 'Shade Wanderer', 'Bosskiller') fail to expand details upon tap</t>
  </si>
  <si>
    <t>Medium</t>
  </si>
  <si>
    <t>1. Launch any active gameplay stage.
2. Open the 'Quests' side drawer from the right edge.
3. Tap successively on quest cards ('Survivor', 'Shade Wanderer', 'Bosskiller').</t>
  </si>
  <si>
    <t>Selected quest card expands smoothly, displaying briefing, objective progress, and milestone rewards.</t>
  </si>
  <si>
    <t>Quest cards do not react to touch events; descriptions remain collapsed and inaccessible.</t>
  </si>
  <si>
    <t>Samsung Galaxy A53 (Android 13)</t>
  </si>
  <si>
    <t>SOS-05</t>
  </si>
  <si>
    <t>In-Game / Left HUD Menu</t>
  </si>
  <si>
    <t>Visual Glitch: Continuous jittering and shaking animation on the two leftmost buttons in tree-shaped HUD menu</t>
  </si>
  <si>
    <t>Minor</t>
  </si>
  <si>
    <t>Low</t>
  </si>
  <si>
    <t>1. Enter any gameplay stage.
2. Observe the tree-shaped skill/ability HUD on the left edge of the screen during idle state.</t>
  </si>
  <si>
    <t>Buttons display a stable, smooth idle breathing animation without sprite displacement.</t>
  </si>
  <si>
    <t>The two leftmost buttons vibrate and jitter rapidly by 2–4 pixels along the Y-axis, causing visible sprite tearing.</t>
  </si>
  <si>
    <t>Motorola Edge 30 (Android 13)</t>
  </si>
  <si>
    <t>SOS-06</t>
  </si>
  <si>
    <t>Level Selection / World Map</t>
  </si>
  <si>
    <t>Stage Selection Failure: The two rightmost crystals on Level Selection Screen cannot be selected or entered</t>
  </si>
  <si>
    <t>1. Open Level Selection Screen and scroll to the rightmost crystal sector.
2. Tap on either of the two rightmost glowing crystal stage nodes.</t>
  </si>
  <si>
    <t>Level preview modal opens displaying stage difficulty rating and active 'Start Level' button.</t>
  </si>
  <si>
    <t>Crystals do not register touch input; collision hitboxes fail to trigger level selection.</t>
  </si>
  <si>
    <t>SOS-07</t>
  </si>
  <si>
    <t>In-Game Shop / Shield</t>
  </si>
  <si>
    <t>Shop Header Unresponsive: '+' currency button in top-right corner does not respond to taps inside 'Shield' section</t>
  </si>
  <si>
    <t>1. Open in-game Shop via Pause Menu.
2. Navigate to 'Shield' equipment tab.
3. Tap the '+' currency top-up button in the top-right corner.</t>
  </si>
  <si>
    <t>Currency purchase and crystal recharge overlay opens displaying store packages.</t>
  </si>
  <si>
    <t>Button does not register touch events; currency top-up cannot be accessed from this section.</t>
  </si>
  <si>
    <t>SOS-08</t>
  </si>
  <si>
    <t>Combat Skill Failure: The two rightmost buttons in tree-shaped HUD menu are completely unresponsive during combat</t>
  </si>
  <si>
    <t>1. Enter combat level with equipped secondary abilities.
2. Tap on the two rightmost button nodes in the tree-shaped left HUD menu.</t>
  </si>
  <si>
    <t>Assigned secondary skill or consumable item executes immediately upon tap.</t>
  </si>
  <si>
    <t>Buttons are completely unresponsive; skill icons do not activate or trigger cooldown.</t>
  </si>
  <si>
    <t>SOS-09</t>
  </si>
  <si>
    <t>In-Game / Health Bar HUD</t>
  </si>
  <si>
    <t>Health HUD Rendering Defect: Fourth heart segment renders as empty outline despite player having full health</t>
  </si>
  <si>
    <t>1. Start any level with player character at maximum 100% full HP.
2. Inspect HUD health container display in top-left corner.</t>
  </si>
  <si>
    <t>All four heart segments render with vibrant solid red fill representing maximum health.</t>
  </si>
  <si>
    <t>The fourth heart segment renders as an empty grey outline, misrepresenting player health state.</t>
  </si>
  <si>
    <t>SOS-10</t>
  </si>
  <si>
    <t>Main Screen / Shop Shortcut</t>
  </si>
  <si>
    <t>Store Lockup: Shop UI elements become completely unresponsive after opening Shop via hooded icon on Main Screen</t>
  </si>
  <si>
    <t>1. From Main Screen, tap the hooded character shortcut icon to access Shop.
2. Attempt to scroll inventory catalog or tap any item card, tab, or Back button.</t>
  </si>
  <si>
    <t>Store catalog renders interactively with functional scrolling and purchasing.</t>
  </si>
  <si>
    <t>Entire Shop interface locks up; touch events are ignored, requiring application force close.</t>
  </si>
  <si>
    <t>SOS-11</t>
  </si>
  <si>
    <t>Main Screen / About Us</t>
  </si>
  <si>
    <t>Hitbox Misalignment: Shifted touch hitbox on 'Exit' button when closing 'About Us' modal on Main Screen</t>
  </si>
  <si>
    <t>1. Open 'About Us' modal window from Main Screen.
2. Tap the 'Exit' / 'X' button directly in the center of the icon.</t>
  </si>
  <si>
    <t>Modal dismisses immediately on first center tap across the button surface.</t>
  </si>
  <si>
    <t>Hitbox is misaligned; center tap is ignored, button only triggers when pressing exact outer edge.</t>
  </si>
  <si>
    <t>SOS-12</t>
  </si>
  <si>
    <t>In-Game / Inventory</t>
  </si>
  <si>
    <t>Inventory Slot Failure: First two item slots in 'Chest' inventory panel on left side do not respond to taps</t>
  </si>
  <si>
    <t>1. Open 'Chest' inventory drawer during active gameplay stage.
2. Tap on item placed in slot #1 or slot #2.</t>
  </si>
  <si>
    <t>Item selection border highlights item and opens contextual 'Use' / 'Info' popup.</t>
  </si>
  <si>
    <t>First two slots do not register touch input; items cannot be inspected or used.</t>
  </si>
  <si>
    <t>SOS-13</t>
  </si>
  <si>
    <t>Erroneous Popup Interception: Intermittent 'Item unavailable' error occurs when attempting to resume via 'Continue'</t>
  </si>
  <si>
    <t>1. Pause gameplay during active combat stage.
2. Tap 'Continue' button to resume gameplay (repeat 5–10 times across runs).</t>
  </si>
  <si>
    <t>Pause Menu closes instantly and stage gameplay resumes seamlessly.</t>
  </si>
  <si>
    <t>'Item unavailable' error popup intermittently intercepts resume action, pausing game flow.</t>
  </si>
  <si>
    <t>SOS-14</t>
  </si>
  <si>
    <t>Level Selection / Avatar</t>
  </si>
  <si>
    <t>Erroneous Modal Trigger: 'Item unavailable' modal window appears erroneously upon tapping female avatar</t>
  </si>
  <si>
    <t>1. Navigate to Level Selection Screen.
2. Tap on the circular female character avatar icon.</t>
  </si>
  <si>
    <t>Character profile, statistics, or cosmetic loadout panel opens.</t>
  </si>
  <si>
    <t>Erroneous 'Item unavailable' blocking modal popup displays instead.</t>
  </si>
  <si>
    <t>SOS-15</t>
  </si>
  <si>
    <t>In-Game Shop / Catalog</t>
  </si>
  <si>
    <t>Store Modal Lock: Modal window 'Item unavailable' freezes on screen without close button across catalog items</t>
  </si>
  <si>
    <t>1. Open in-game Shop.
2. Attempt to inspect or purchase 'Liquid Flask', 'Swords', 'Lantern', or 'Document Box'.
3. Observe modal window dismiss options.</t>
  </si>
  <si>
    <t>Items display correct purchase prompt or failure dialog with functioning 'Close' button.</t>
  </si>
  <si>
    <t>'Item unavailable' modal locks screen permanently without any close option, forcing app restart.</t>
  </si>
  <si>
    <t>SOS-16</t>
  </si>
  <si>
    <t>Main Screen / Navigation</t>
  </si>
  <si>
    <t>Performance Lag: Significant UI response lag (3.5-second frame freeze) when tapping 'Start The Game'</t>
  </si>
  <si>
    <t>1. From cold app launch, wait on Main Screen for 3 seconds.
2. Tap 'Start The Game' button.</t>
  </si>
  <si>
    <t>Instant UI touch response (&lt;100ms) with smooth animated transition to world map.</t>
  </si>
  <si>
    <t>Application completely freezes for 3.5 seconds (0 FPS dropped frames) before loading map.</t>
  </si>
  <si>
    <t>SOS-17</t>
  </si>
  <si>
    <t>In-Game Shop / Consumables</t>
  </si>
  <si>
    <t>Missing Stock Badge: Missing 'Out of Stock' visual notification badge when depleting upper-right flask inventory</t>
  </si>
  <si>
    <t>1. In Shop, purchase maximum allowed quantity of the two upper-right consumable flasks.
2. Inspect item card slots once stock is depleted.</t>
  </si>
  <si>
    <t>Slots show dimmed silhouette with distinct red/grey 'Out of Stock' badge overlay.</t>
  </si>
  <si>
    <t>Slots remain fully colored and appear available; tapping produces generic buzzer error.</t>
  </si>
  <si>
    <t>⚔️ SHADOWS OF SILENCE — QA Bug Report Portfolio Audit</t>
  </si>
  <si>
    <t>Commercial Verification | PixelCraft Studio | 2D Action Title (Live on Google Play Store) | Dmitry Kravchenko</t>
  </si>
  <si>
    <t>TOTAL DEFECTS</t>
  </si>
  <si>
    <t>CRITICAL</t>
  </si>
  <si>
    <t>MAJOR</t>
  </si>
  <si>
    <t>MINOR</t>
  </si>
  <si>
    <t>STATUS: OPEN</t>
  </si>
  <si>
    <t>Defect Severity Classification</t>
  </si>
  <si>
    <t>Severity Level</t>
  </si>
  <si>
    <t>Defect Count</t>
  </si>
  <si>
    <t>% of Total</t>
  </si>
  <si>
    <t>Engineering Action</t>
  </si>
  <si>
    <t>Immediate Store &amp; Combat HUD Resolution</t>
  </si>
  <si>
    <t>Core Progression &amp; Inventory Fixes (Town, Map, Inventory)</t>
  </si>
  <si>
    <t>Visual Assets, Hitbox Alignment &amp; Stock Badges</t>
  </si>
  <si>
    <t>Total</t>
  </si>
  <si>
    <t>100.0% Production Audit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</si>
</sst>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E293B"/>
      <name val="Segoe UI"/>
    </font>
    <font>
      <b/>
      <sz val="10"/>
      <color rgb="FF0F172A"/>
      <name val="Segoe UI"/>
    </font>
    <font>
      <b/>
      <sz val="10"/>
      <color rgb="FFB45309"/>
      <name val="Segoe UI"/>
    </font>
    <font>
      <b/>
      <sz val="10"/>
      <color rgb="FFDC2626"/>
      <name val="Segoe UI"/>
    </font>
    <font>
      <b/>
      <sz val="10"/>
      <color rgb="FF1E40AF"/>
      <name val="Segoe UI"/>
    </font>
    <font>
      <b/>
      <sz val="10"/>
      <color rgb="FFC2410C"/>
      <name val="Segoe UI"/>
    </font>
    <font>
      <b/>
      <sz val="10"/>
      <color rgb="FFD97706"/>
      <name val="Segoe UI"/>
    </font>
    <font>
      <b/>
      <sz val="10"/>
      <color rgb="FF475569"/>
      <name val="Segoe UI"/>
    </font>
    <font>
      <sz val="10"/>
      <color rgb="FF64748B"/>
      <name val="Segoe UI"/>
    </font>
    <font>
      <b/>
      <sz val="15"/>
      <color rgb="FF0F172A"/>
      <name val="Segoe UI"/>
    </font>
    <font>
      <i/>
      <sz val="9.5"/>
      <color rgb="FF64748B"/>
      <name val="Segoe UI"/>
    </font>
    <font>
      <b/>
      <sz val="8.5"/>
      <color rgb="FF64748B"/>
      <name val="Segoe UI"/>
    </font>
    <font>
      <b/>
      <sz val="18"/>
      <color rgb="FF0F172A"/>
      <name val="Segoe UI"/>
    </font>
    <font>
      <b/>
      <sz val="18"/>
      <color rgb="FFC2410C"/>
      <name val="Segoe UI"/>
    </font>
    <font>
      <b/>
      <sz val="18"/>
      <color rgb="FFB45309"/>
      <name val="Segoe UI"/>
    </font>
    <font>
      <b/>
      <sz val="18"/>
      <color rgb="FF475569"/>
      <name val="Segoe UI"/>
    </font>
    <font>
      <b/>
      <sz val="18"/>
      <color rgb="FF1E40AF"/>
      <name val="Segoe UI"/>
    </font>
    <font>
      <b/>
      <sz val="11"/>
      <color rgb="FF0F172A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2626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FEDD5"/>
      </patternFill>
    </fill>
    <fill>
      <patternFill patternType="solid">
        <fgColor rgb="FFF1F5F9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  <border>
      <left style="thin">
        <color rgb="FFCBD5E1"/>
      </left>
      <right/>
      <top style="thin">
        <color rgb="FF0F172A"/>
      </top>
      <bottom style="double">
        <color rgb="FF0F172A"/>
      </bottom>
      <diagonal/>
    </border>
    <border>
      <left/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9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Defect Distribution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Analytics'!$C$10</c:f>
              <c:strCache>
                <c:ptCount val="1"/>
                <c:pt idx="0">
                  <c:v>Defect 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'Summary &amp; Analytics'!$B$11:$B$13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'Summary &amp; Analytics'!$C$11:$C$13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426304"/>
        <c:axId val="157710528"/>
      </c:barChart>
      <c:catAx>
        <c:axId val="21942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Severity Level</a:t>
                </a:r>
              </a:p>
            </c:rich>
          </c:tx>
          <c:overlay val="0"/>
        </c:title>
        <c:majorTickMark val="none"/>
        <c:minorTickMark val="none"/>
        <c:tickLblPos val="nextTo"/>
        <c:crossAx val="157710528"/>
        <c:crosses val="autoZero"/>
        <c:auto val="0"/>
        <c:lblAlgn val="ctr"/>
        <c:lblOffset val="100"/>
        <c:noMultiLvlLbl val="0"/>
      </c:catAx>
      <c:valAx>
        <c:axId val="157710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9426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576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6" customWidth="1"/>
    <col min="3" max="3" width="40" customWidth="1"/>
    <col min="4" max="4" width="13" customWidth="1"/>
    <col min="5" max="5" width="12" customWidth="1"/>
    <col min="6" max="6" width="44" customWidth="1"/>
    <col min="7" max="7" width="34" customWidth="1"/>
    <col min="8" max="8" width="36" customWidth="1"/>
    <col min="9" max="9" width="26" customWidth="1"/>
    <col min="10" max="10" width="13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9.1" customHeight="1" x14ac:dyDescent="0.25">
      <c r="A2" s="2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6" t="s">
        <v>19</v>
      </c>
    </row>
    <row r="3" spans="1:10" ht="89.1" customHeight="1" x14ac:dyDescent="0.25">
      <c r="A3" s="7" t="s">
        <v>20</v>
      </c>
      <c r="B3" s="8" t="s">
        <v>21</v>
      </c>
      <c r="C3" s="8" t="s">
        <v>22</v>
      </c>
      <c r="D3" s="4" t="s">
        <v>13</v>
      </c>
      <c r="E3" s="5" t="s">
        <v>14</v>
      </c>
      <c r="F3" s="8" t="s">
        <v>23</v>
      </c>
      <c r="G3" s="8" t="s">
        <v>24</v>
      </c>
      <c r="H3" s="8" t="s">
        <v>25</v>
      </c>
      <c r="I3" s="8" t="s">
        <v>26</v>
      </c>
      <c r="J3" s="6" t="s">
        <v>19</v>
      </c>
    </row>
    <row r="4" spans="1:10" ht="104.1" customHeight="1" x14ac:dyDescent="0.25">
      <c r="A4" s="2" t="s">
        <v>27</v>
      </c>
      <c r="B4" s="3" t="s">
        <v>28</v>
      </c>
      <c r="C4" s="3" t="s">
        <v>29</v>
      </c>
      <c r="D4" s="9" t="s">
        <v>30</v>
      </c>
      <c r="E4" s="5" t="s">
        <v>14</v>
      </c>
      <c r="F4" s="3" t="s">
        <v>31</v>
      </c>
      <c r="G4" s="3" t="s">
        <v>32</v>
      </c>
      <c r="H4" s="3" t="s">
        <v>33</v>
      </c>
      <c r="I4" s="3" t="s">
        <v>34</v>
      </c>
      <c r="J4" s="6" t="s">
        <v>19</v>
      </c>
    </row>
    <row r="5" spans="1:10" ht="89.1" customHeight="1" x14ac:dyDescent="0.25">
      <c r="A5" s="7" t="s">
        <v>35</v>
      </c>
      <c r="B5" s="8" t="s">
        <v>36</v>
      </c>
      <c r="C5" s="8" t="s">
        <v>37</v>
      </c>
      <c r="D5" s="4" t="s">
        <v>13</v>
      </c>
      <c r="E5" s="10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6" t="s">
        <v>19</v>
      </c>
    </row>
    <row r="6" spans="1:10" ht="74.099999999999994" customHeight="1" x14ac:dyDescent="0.25">
      <c r="A6" s="2" t="s">
        <v>43</v>
      </c>
      <c r="B6" s="3" t="s">
        <v>44</v>
      </c>
      <c r="C6" s="3" t="s">
        <v>45</v>
      </c>
      <c r="D6" s="11" t="s">
        <v>46</v>
      </c>
      <c r="E6" s="12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6" t="s">
        <v>19</v>
      </c>
    </row>
    <row r="7" spans="1:10" ht="74.099999999999994" customHeight="1" x14ac:dyDescent="0.25">
      <c r="A7" s="7" t="s">
        <v>52</v>
      </c>
      <c r="B7" s="8" t="s">
        <v>53</v>
      </c>
      <c r="C7" s="8" t="s">
        <v>54</v>
      </c>
      <c r="D7" s="4" t="s">
        <v>13</v>
      </c>
      <c r="E7" s="5" t="s">
        <v>14</v>
      </c>
      <c r="F7" s="8" t="s">
        <v>55</v>
      </c>
      <c r="G7" s="8" t="s">
        <v>56</v>
      </c>
      <c r="H7" s="8" t="s">
        <v>57</v>
      </c>
      <c r="I7" s="8" t="s">
        <v>26</v>
      </c>
      <c r="J7" s="6" t="s">
        <v>19</v>
      </c>
    </row>
    <row r="8" spans="1:10" ht="74.099999999999994" customHeight="1" x14ac:dyDescent="0.25">
      <c r="A8" s="2" t="s">
        <v>58</v>
      </c>
      <c r="B8" s="3" t="s">
        <v>59</v>
      </c>
      <c r="C8" s="3" t="s">
        <v>60</v>
      </c>
      <c r="D8" s="4" t="s">
        <v>13</v>
      </c>
      <c r="E8" s="5" t="s">
        <v>14</v>
      </c>
      <c r="F8" s="3" t="s">
        <v>61</v>
      </c>
      <c r="G8" s="3" t="s">
        <v>62</v>
      </c>
      <c r="H8" s="3" t="s">
        <v>63</v>
      </c>
      <c r="I8" s="3" t="s">
        <v>34</v>
      </c>
      <c r="J8" s="6" t="s">
        <v>19</v>
      </c>
    </row>
    <row r="9" spans="1:10" ht="74.099999999999994" customHeight="1" x14ac:dyDescent="0.25">
      <c r="A9" s="7" t="s">
        <v>64</v>
      </c>
      <c r="B9" s="8" t="s">
        <v>44</v>
      </c>
      <c r="C9" s="8" t="s">
        <v>65</v>
      </c>
      <c r="D9" s="9" t="s">
        <v>30</v>
      </c>
      <c r="E9" s="5" t="s">
        <v>14</v>
      </c>
      <c r="F9" s="8" t="s">
        <v>66</v>
      </c>
      <c r="G9" s="8" t="s">
        <v>67</v>
      </c>
      <c r="H9" s="8" t="s">
        <v>68</v>
      </c>
      <c r="I9" s="8" t="s">
        <v>18</v>
      </c>
      <c r="J9" s="6" t="s">
        <v>19</v>
      </c>
    </row>
    <row r="10" spans="1:10" ht="74.099999999999994" customHeight="1" x14ac:dyDescent="0.25">
      <c r="A10" s="2" t="s">
        <v>69</v>
      </c>
      <c r="B10" s="3" t="s">
        <v>70</v>
      </c>
      <c r="C10" s="3" t="s">
        <v>71</v>
      </c>
      <c r="D10" s="11" t="s">
        <v>46</v>
      </c>
      <c r="E10" s="12" t="s">
        <v>47</v>
      </c>
      <c r="F10" s="3" t="s">
        <v>72</v>
      </c>
      <c r="G10" s="3" t="s">
        <v>73</v>
      </c>
      <c r="H10" s="3" t="s">
        <v>74</v>
      </c>
      <c r="I10" s="3" t="s">
        <v>42</v>
      </c>
      <c r="J10" s="6" t="s">
        <v>19</v>
      </c>
    </row>
    <row r="11" spans="1:10" ht="74.099999999999994" customHeight="1" x14ac:dyDescent="0.25">
      <c r="A11" s="7" t="s">
        <v>75</v>
      </c>
      <c r="B11" s="8" t="s">
        <v>76</v>
      </c>
      <c r="C11" s="8" t="s">
        <v>77</v>
      </c>
      <c r="D11" s="9" t="s">
        <v>30</v>
      </c>
      <c r="E11" s="5" t="s">
        <v>14</v>
      </c>
      <c r="F11" s="8" t="s">
        <v>78</v>
      </c>
      <c r="G11" s="8" t="s">
        <v>79</v>
      </c>
      <c r="H11" s="8" t="s">
        <v>80</v>
      </c>
      <c r="I11" s="8" t="s">
        <v>18</v>
      </c>
      <c r="J11" s="6" t="s">
        <v>19</v>
      </c>
    </row>
    <row r="12" spans="1:10" ht="74.099999999999994" customHeight="1" x14ac:dyDescent="0.25">
      <c r="A12" s="2" t="s">
        <v>81</v>
      </c>
      <c r="B12" s="3" t="s">
        <v>82</v>
      </c>
      <c r="C12" s="3" t="s">
        <v>83</v>
      </c>
      <c r="D12" s="11" t="s">
        <v>46</v>
      </c>
      <c r="E12" s="12" t="s">
        <v>47</v>
      </c>
      <c r="F12" s="3" t="s">
        <v>84</v>
      </c>
      <c r="G12" s="3" t="s">
        <v>85</v>
      </c>
      <c r="H12" s="3" t="s">
        <v>86</v>
      </c>
      <c r="I12" s="3" t="s">
        <v>26</v>
      </c>
      <c r="J12" s="6" t="s">
        <v>19</v>
      </c>
    </row>
    <row r="13" spans="1:10" ht="74.099999999999994" customHeight="1" x14ac:dyDescent="0.25">
      <c r="A13" s="7" t="s">
        <v>87</v>
      </c>
      <c r="B13" s="8" t="s">
        <v>88</v>
      </c>
      <c r="C13" s="8" t="s">
        <v>89</v>
      </c>
      <c r="D13" s="4" t="s">
        <v>13</v>
      </c>
      <c r="E13" s="5" t="s">
        <v>14</v>
      </c>
      <c r="F13" s="8" t="s">
        <v>90</v>
      </c>
      <c r="G13" s="8" t="s">
        <v>91</v>
      </c>
      <c r="H13" s="8" t="s">
        <v>92</v>
      </c>
      <c r="I13" s="8" t="s">
        <v>34</v>
      </c>
      <c r="J13" s="6" t="s">
        <v>19</v>
      </c>
    </row>
    <row r="14" spans="1:10" ht="74.099999999999994" customHeight="1" x14ac:dyDescent="0.25">
      <c r="A14" s="2" t="s">
        <v>93</v>
      </c>
      <c r="B14" s="3" t="s">
        <v>28</v>
      </c>
      <c r="C14" s="3" t="s">
        <v>94</v>
      </c>
      <c r="D14" s="4" t="s">
        <v>13</v>
      </c>
      <c r="E14" s="5" t="s">
        <v>14</v>
      </c>
      <c r="F14" s="3" t="s">
        <v>95</v>
      </c>
      <c r="G14" s="3" t="s">
        <v>96</v>
      </c>
      <c r="H14" s="3" t="s">
        <v>97</v>
      </c>
      <c r="I14" s="3" t="s">
        <v>51</v>
      </c>
      <c r="J14" s="6" t="s">
        <v>19</v>
      </c>
    </row>
    <row r="15" spans="1:10" ht="59.1" customHeight="1" x14ac:dyDescent="0.25">
      <c r="A15" s="7" t="s">
        <v>98</v>
      </c>
      <c r="B15" s="8" t="s">
        <v>99</v>
      </c>
      <c r="C15" s="8" t="s">
        <v>100</v>
      </c>
      <c r="D15" s="11" t="s">
        <v>46</v>
      </c>
      <c r="E15" s="13" t="s">
        <v>47</v>
      </c>
      <c r="F15" s="8" t="s">
        <v>101</v>
      </c>
      <c r="G15" s="8" t="s">
        <v>102</v>
      </c>
      <c r="H15" s="8" t="s">
        <v>103</v>
      </c>
      <c r="I15" s="8" t="s">
        <v>42</v>
      </c>
      <c r="J15" s="6" t="s">
        <v>19</v>
      </c>
    </row>
    <row r="16" spans="1:10" ht="89.1" customHeight="1" x14ac:dyDescent="0.25">
      <c r="A16" s="2" t="s">
        <v>104</v>
      </c>
      <c r="B16" s="3" t="s">
        <v>105</v>
      </c>
      <c r="C16" s="3" t="s">
        <v>106</v>
      </c>
      <c r="D16" s="9" t="s">
        <v>30</v>
      </c>
      <c r="E16" s="5" t="s">
        <v>14</v>
      </c>
      <c r="F16" s="3" t="s">
        <v>107</v>
      </c>
      <c r="G16" s="3" t="s">
        <v>108</v>
      </c>
      <c r="H16" s="3" t="s">
        <v>109</v>
      </c>
      <c r="I16" s="3" t="s">
        <v>18</v>
      </c>
      <c r="J16" s="6" t="s">
        <v>19</v>
      </c>
    </row>
    <row r="17" spans="1:10" ht="59.1" customHeight="1" x14ac:dyDescent="0.25">
      <c r="A17" s="7" t="s">
        <v>110</v>
      </c>
      <c r="B17" s="8" t="s">
        <v>111</v>
      </c>
      <c r="C17" s="8" t="s">
        <v>112</v>
      </c>
      <c r="D17" s="4" t="s">
        <v>13</v>
      </c>
      <c r="E17" s="5" t="s">
        <v>14</v>
      </c>
      <c r="F17" s="8" t="s">
        <v>113</v>
      </c>
      <c r="G17" s="8" t="s">
        <v>114</v>
      </c>
      <c r="H17" s="8" t="s">
        <v>115</v>
      </c>
      <c r="I17" s="8" t="s">
        <v>26</v>
      </c>
      <c r="J17" s="6" t="s">
        <v>19</v>
      </c>
    </row>
    <row r="18" spans="1:10" ht="89.1" customHeight="1" x14ac:dyDescent="0.25">
      <c r="A18" s="2" t="s">
        <v>116</v>
      </c>
      <c r="B18" s="3" t="s">
        <v>117</v>
      </c>
      <c r="C18" s="3" t="s">
        <v>118</v>
      </c>
      <c r="D18" s="11" t="s">
        <v>46</v>
      </c>
      <c r="E18" s="12" t="s">
        <v>47</v>
      </c>
      <c r="F18" s="3" t="s">
        <v>119</v>
      </c>
      <c r="G18" s="3" t="s">
        <v>120</v>
      </c>
      <c r="H18" s="3" t="s">
        <v>121</v>
      </c>
      <c r="I18" s="3" t="s">
        <v>34</v>
      </c>
      <c r="J18" s="6" t="s">
        <v>19</v>
      </c>
    </row>
  </sheetData>
  <autoFilter ref="A1:J18"/>
  <printOptions horizontalCentered="1"/>
  <pageMargins left="0.4" right="0.4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4"/>
  <sheetViews>
    <sheetView workbookViewId="0"/>
  </sheetViews>
  <sheetFormatPr defaultRowHeight="15" x14ac:dyDescent="0.25"/>
  <cols>
    <col min="1" max="1" width="3" customWidth="1"/>
    <col min="2" max="2" width="18" customWidth="1"/>
    <col min="3" max="4" width="16" customWidth="1"/>
    <col min="5" max="6" width="18" customWidth="1"/>
    <col min="7" max="7" width="3" customWidth="1"/>
  </cols>
  <sheetData>
    <row r="2" spans="2:6" ht="24" x14ac:dyDescent="0.45">
      <c r="B2" s="14" t="s">
        <v>122</v>
      </c>
    </row>
    <row r="3" spans="2:6" x14ac:dyDescent="0.25">
      <c r="B3" s="15" t="s">
        <v>123</v>
      </c>
    </row>
    <row r="5" spans="2:6" ht="20.100000000000001" customHeight="1" x14ac:dyDescent="0.25">
      <c r="B5" s="16" t="s">
        <v>124</v>
      </c>
      <c r="C5" s="16" t="s">
        <v>125</v>
      </c>
      <c r="D5" s="16" t="s">
        <v>126</v>
      </c>
      <c r="E5" s="16" t="s">
        <v>127</v>
      </c>
      <c r="F5" s="16" t="s">
        <v>128</v>
      </c>
    </row>
    <row r="6" spans="2:6" ht="30" customHeight="1" x14ac:dyDescent="0.25">
      <c r="B6" s="17">
        <f>COUNTA('Bug Reports'!A2:A18)</f>
        <v>17</v>
      </c>
      <c r="C6" s="18">
        <f>COUNTIF('Bug Reports'!D2:D18, "Critical")</f>
        <v>4</v>
      </c>
      <c r="D6" s="19">
        <f>COUNTIF('Bug Reports'!D2:D18, "Major")</f>
        <v>8</v>
      </c>
      <c r="E6" s="20">
        <f>COUNTIF('Bug Reports'!D2:D18, "Minor")</f>
        <v>5</v>
      </c>
      <c r="F6" s="21">
        <f>COUNTIF('Bug Reports'!J2:J18, "Open")</f>
        <v>17</v>
      </c>
    </row>
    <row r="9" spans="2:6" ht="16.5" x14ac:dyDescent="0.3">
      <c r="B9" s="22" t="s">
        <v>129</v>
      </c>
    </row>
    <row r="10" spans="2:6" ht="21.95" customHeight="1" x14ac:dyDescent="0.3">
      <c r="B10" s="23" t="s">
        <v>130</v>
      </c>
      <c r="C10" s="23" t="s">
        <v>131</v>
      </c>
      <c r="D10" s="23" t="s">
        <v>132</v>
      </c>
      <c r="E10" s="35" t="s">
        <v>133</v>
      </c>
      <c r="F10" s="36"/>
    </row>
    <row r="11" spans="2:6" ht="20.100000000000001" customHeight="1" x14ac:dyDescent="0.25">
      <c r="B11" s="24" t="s">
        <v>30</v>
      </c>
      <c r="C11" s="25">
        <f>COUNTIF('Bug Reports'!D2:D18, "Critical")</f>
        <v>4</v>
      </c>
      <c r="D11" s="26">
        <f>C11/$B$6</f>
        <v>0.23529411764705882</v>
      </c>
      <c r="E11" s="37" t="s">
        <v>134</v>
      </c>
      <c r="F11" s="38"/>
    </row>
    <row r="12" spans="2:6" ht="20.100000000000001" customHeight="1" x14ac:dyDescent="0.25">
      <c r="B12" s="27" t="s">
        <v>13</v>
      </c>
      <c r="C12" s="28">
        <f>COUNTIF('Bug Reports'!D2:D18, "Major")</f>
        <v>8</v>
      </c>
      <c r="D12" s="29">
        <f>C12/$B$6</f>
        <v>0.47058823529411764</v>
      </c>
      <c r="E12" s="33" t="s">
        <v>135</v>
      </c>
      <c r="F12" s="34"/>
    </row>
    <row r="13" spans="2:6" ht="20.100000000000001" customHeight="1" x14ac:dyDescent="0.25">
      <c r="B13" s="24" t="s">
        <v>46</v>
      </c>
      <c r="C13" s="25">
        <f>COUNTIF('Bug Reports'!D2:D18, "Minor")</f>
        <v>5</v>
      </c>
      <c r="D13" s="26">
        <f>C13/$B$6</f>
        <v>0.29411764705882354</v>
      </c>
      <c r="E13" s="37" t="s">
        <v>136</v>
      </c>
      <c r="F13" s="38"/>
    </row>
    <row r="14" spans="2:6" ht="21.95" customHeight="1" x14ac:dyDescent="0.25">
      <c r="B14" s="30" t="s">
        <v>137</v>
      </c>
      <c r="C14" s="31">
        <f>SUM(C11:C13)</f>
        <v>17</v>
      </c>
      <c r="D14" s="32">
        <f>SUM(D11:D13)</f>
        <v>1</v>
      </c>
      <c r="E14" s="39" t="s">
        <v>138</v>
      </c>
      <c r="F14" s="40"/>
    </row>
  </sheetData>
  <mergeCells count="5">
    <mergeCell ref="E12:F12"/>
    <mergeCell ref="E10:F10"/>
    <mergeCell ref="E11:F11"/>
    <mergeCell ref="E13:F13"/>
    <mergeCell ref="E14:F14"/>
  </mergeCells>
  <printOptions horizontalCentered="1"/>
  <pageMargins left="0.5" right="0.5" top="0.5" bottom="0.5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Bug Reports</vt:lpstr>
      <vt:lpstr>Summary &amp; Analytics</vt:lpstr>
      <vt:lpstr>'Bug Reports'!Print_Titles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Kravchenko</cp:lastModifiedBy>
  <dcterms:created xsi:type="dcterms:W3CDTF">2026-10-27T05:10:00Z</dcterms:created>
  <dcterms:modified xsi:type="dcterms:W3CDTF">2026-10-27T12:00:33Z</dcterms:modified>
</cp:coreProperties>
</file>